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9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an/paper/phd_thesis/anlagen/"/>
    </mc:Choice>
  </mc:AlternateContent>
  <xr:revisionPtr revIDLastSave="0" documentId="13_ncr:1_{4F86CF5A-08B6-A844-8FFC-3DD96AC2F857}" xr6:coauthVersionLast="43" xr6:coauthVersionMax="43" xr10:uidLastSave="{00000000-0000-0000-0000-000000000000}"/>
  <bookViews>
    <workbookView xWindow="0" yWindow="460" windowWidth="23840" windowHeight="16320" tabRatio="500" xr2:uid="{00000000-000D-0000-FFFF-FFFF00000000}"/>
  </bookViews>
  <sheets>
    <sheet name="Blat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1" l="1"/>
  <c r="C6" i="1" s="1"/>
  <c r="C19" i="1" s="1"/>
  <c r="C3" i="1"/>
  <c r="E3" i="1"/>
  <c r="C8" i="1" s="1"/>
  <c r="F3" i="1"/>
  <c r="H3" i="1"/>
  <c r="C10" i="1" s="1"/>
  <c r="I3" i="1"/>
  <c r="C12" i="1"/>
  <c r="B8" i="1"/>
  <c r="B10" i="1"/>
  <c r="B12" i="1"/>
  <c r="D12" i="1"/>
  <c r="E8" i="1"/>
  <c r="E10" i="1"/>
  <c r="E12" i="1"/>
  <c r="F12" i="1"/>
  <c r="G8" i="1"/>
  <c r="G10" i="1"/>
  <c r="G12" i="1"/>
  <c r="H12" i="1"/>
  <c r="I8" i="1"/>
  <c r="I10" i="1"/>
  <c r="I12" i="1"/>
  <c r="J12" i="1"/>
  <c r="K8" i="1"/>
  <c r="K10" i="1"/>
  <c r="K12" i="1"/>
  <c r="L12" i="1"/>
  <c r="M8" i="1"/>
  <c r="M10" i="1"/>
  <c r="M12" i="1"/>
  <c r="N12" i="1"/>
  <c r="O8" i="1"/>
  <c r="O10" i="1"/>
  <c r="O12" i="1"/>
  <c r="R3" i="1"/>
  <c r="Q3" i="1"/>
  <c r="P3" i="1"/>
  <c r="N3" i="1"/>
  <c r="M3" i="1"/>
  <c r="L3" i="1"/>
  <c r="K3" i="1"/>
  <c r="J3" i="1"/>
  <c r="R19" i="1"/>
  <c r="J6" i="1" l="1"/>
  <c r="I6" i="1"/>
  <c r="I19" i="1" s="1"/>
  <c r="N10" i="1"/>
  <c r="L10" i="1"/>
  <c r="J10" i="1"/>
  <c r="H10" i="1"/>
  <c r="F10" i="1"/>
  <c r="D10" i="1"/>
  <c r="B6" i="1"/>
  <c r="B19" i="1" s="1"/>
  <c r="H6" i="1"/>
  <c r="N8" i="1"/>
  <c r="L8" i="1"/>
  <c r="J8" i="1"/>
  <c r="H8" i="1"/>
  <c r="F8" i="1"/>
  <c r="D8" i="1"/>
  <c r="O6" i="1"/>
  <c r="O19" i="1" s="1"/>
  <c r="G6" i="1"/>
  <c r="G19" i="1" s="1"/>
  <c r="N6" i="1"/>
  <c r="N19" i="1" s="1"/>
  <c r="F6" i="1"/>
  <c r="M6" i="1"/>
  <c r="M19" i="1" s="1"/>
  <c r="E6" i="1"/>
  <c r="E19" i="1" s="1"/>
  <c r="L6" i="1"/>
  <c r="L19" i="1" s="1"/>
  <c r="D6" i="1"/>
  <c r="D19" i="1" s="1"/>
  <c r="K6" i="1"/>
  <c r="K19" i="1" s="1"/>
  <c r="F19" i="1" l="1"/>
  <c r="H19" i="1"/>
  <c r="J19" i="1"/>
  <c r="H20" i="1" l="1"/>
  <c r="G20" i="1"/>
  <c r="F20" i="1"/>
  <c r="J20" i="1"/>
  <c r="N20" i="1"/>
  <c r="B20" i="1"/>
  <c r="O20" i="1"/>
  <c r="M20" i="1"/>
  <c r="I20" i="1"/>
  <c r="C20" i="1"/>
  <c r="D20" i="1"/>
  <c r="L20" i="1"/>
  <c r="K20" i="1"/>
  <c r="E20" i="1"/>
</calcChain>
</file>

<file path=xl/sharedStrings.xml><?xml version="1.0" encoding="utf-8"?>
<sst xmlns="http://schemas.openxmlformats.org/spreadsheetml/2006/main" count="56" uniqueCount="54">
  <si>
    <t>Gewichtung</t>
  </si>
  <si>
    <t>Dieser Button setzt die automatische Anpassung der Gewichtung außer Kraft. Dadurch kann die Gewichtung manuell angepasst werden.</t>
  </si>
  <si>
    <t>Enabled</t>
  </si>
  <si>
    <t>Nutzwert</t>
  </si>
  <si>
    <t>Die Summe muss dabei immer 100 betragen!</t>
  </si>
  <si>
    <t>Bewertung Prio Stakeholder A</t>
  </si>
  <si>
    <t>Min B5</t>
  </si>
  <si>
    <t>Max B5</t>
  </si>
  <si>
    <t>Min B7</t>
  </si>
  <si>
    <t>Max B7</t>
  </si>
  <si>
    <t>Min B9</t>
  </si>
  <si>
    <t>Max B9</t>
  </si>
  <si>
    <t>Min B11</t>
  </si>
  <si>
    <t>Max B11</t>
  </si>
  <si>
    <t>Min B13</t>
  </si>
  <si>
    <t>Max B13</t>
  </si>
  <si>
    <t>Min B15</t>
  </si>
  <si>
    <t>Max B15</t>
  </si>
  <si>
    <t>Min B17</t>
  </si>
  <si>
    <t>Max B17</t>
  </si>
  <si>
    <t>Platzierung</t>
  </si>
  <si>
    <t>Alternative 1</t>
  </si>
  <si>
    <t>Alternative 2</t>
  </si>
  <si>
    <t>Alternative 3</t>
  </si>
  <si>
    <t>Alternative 4</t>
  </si>
  <si>
    <t>Alternative 5</t>
  </si>
  <si>
    <t>Alternative 6</t>
  </si>
  <si>
    <t>Alternative 7</t>
  </si>
  <si>
    <t>Alternative 8</t>
  </si>
  <si>
    <t>Alternative 9</t>
  </si>
  <si>
    <t>Alternative 10</t>
  </si>
  <si>
    <t>Alternative 11</t>
  </si>
  <si>
    <t>Alternative 12</t>
  </si>
  <si>
    <t>Alternative 13</t>
  </si>
  <si>
    <t>Alternative 14</t>
  </si>
  <si>
    <t>Kriterium 4</t>
  </si>
  <si>
    <t>Kriterium 3</t>
  </si>
  <si>
    <t>Kriterium 2</t>
  </si>
  <si>
    <t>Kriterium 1</t>
  </si>
  <si>
    <t>Priorisierung Stakeholder</t>
  </si>
  <si>
    <t>Bewertung Kriterium 6</t>
  </si>
  <si>
    <t xml:space="preserve">Bewertung Prio Kriterium 5 </t>
  </si>
  <si>
    <t>Bewertung Kriterium 4</t>
  </si>
  <si>
    <t>Bewertung Kriterium 3</t>
  </si>
  <si>
    <t>Bewertung Kriterium 1</t>
  </si>
  <si>
    <t>Bewertung Kriterium 2</t>
  </si>
  <si>
    <t>Skala</t>
  </si>
  <si>
    <t xml:space="preserve">Die Alternativen müssen entsprechend der Kriterien bewertet werden. Dazu  %, die unten stehenden Skala aus dem Scrum Planing Poker, oder eine Sortierung wählen. Danach wird in der darunter stehenden Spalte automatisch normalisiert. </t>
  </si>
  <si>
    <t>Niedrigster Wert = 0</t>
  </si>
  <si>
    <r>
      <t>WENN(</t>
    </r>
    <r>
      <rPr>
        <sz val="14"/>
        <color indexed="205"/>
        <rFont val="Calibri"/>
      </rPr>
      <t>$B$3</t>
    </r>
    <r>
      <rPr>
        <sz val="14"/>
        <color theme="1"/>
        <rFont val="Calibri"/>
        <scheme val="minor"/>
      </rPr>
      <t xml:space="preserve"> = </t>
    </r>
    <r>
      <rPr>
        <sz val="14"/>
        <color indexed="206"/>
        <rFont val="Calibri"/>
      </rPr>
      <t>B5</t>
    </r>
    <r>
      <rPr>
        <sz val="14"/>
        <color theme="1"/>
        <rFont val="Calibri"/>
        <scheme val="minor"/>
      </rPr>
      <t>; 0; WENN</t>
    </r>
    <r>
      <rPr>
        <sz val="14"/>
        <color indexed="206"/>
        <rFont val="Calibri"/>
      </rPr>
      <t>(</t>
    </r>
    <r>
      <rPr>
        <sz val="14"/>
        <color indexed="207"/>
        <rFont val="Calibri"/>
      </rPr>
      <t>$C$3</t>
    </r>
    <r>
      <rPr>
        <sz val="14"/>
        <color theme="1"/>
        <rFont val="Calibri"/>
        <scheme val="minor"/>
      </rPr>
      <t xml:space="preserve"> = </t>
    </r>
    <r>
      <rPr>
        <sz val="14"/>
        <color indexed="206"/>
        <rFont val="Calibri"/>
      </rPr>
      <t>B5</t>
    </r>
    <r>
      <rPr>
        <sz val="14"/>
        <color theme="1"/>
        <rFont val="Calibri"/>
        <scheme val="minor"/>
      </rPr>
      <t xml:space="preserve">; 1; </t>
    </r>
    <r>
      <rPr>
        <sz val="14"/>
        <color indexed="207"/>
        <rFont val="Calibri"/>
      </rPr>
      <t>(</t>
    </r>
    <r>
      <rPr>
        <sz val="14"/>
        <color indexed="206"/>
        <rFont val="Calibri"/>
      </rPr>
      <t>B5</t>
    </r>
    <r>
      <rPr>
        <sz val="14"/>
        <color theme="1"/>
        <rFont val="Calibri"/>
        <scheme val="minor"/>
      </rPr>
      <t>-</t>
    </r>
    <r>
      <rPr>
        <sz val="14"/>
        <color indexed="205"/>
        <rFont val="Calibri"/>
      </rPr>
      <t>$B$3</t>
    </r>
    <r>
      <rPr>
        <sz val="14"/>
        <color indexed="207"/>
        <rFont val="Calibri"/>
      </rPr>
      <t>)</t>
    </r>
    <r>
      <rPr>
        <sz val="14"/>
        <color theme="1"/>
        <rFont val="Calibri"/>
        <scheme val="minor"/>
      </rPr>
      <t>/</t>
    </r>
    <r>
      <rPr>
        <sz val="14"/>
        <color indexed="207"/>
        <rFont val="Calibri"/>
      </rPr>
      <t>($C$3</t>
    </r>
    <r>
      <rPr>
        <sz val="14"/>
        <color theme="1"/>
        <rFont val="Calibri"/>
        <scheme val="minor"/>
      </rPr>
      <t>-</t>
    </r>
    <r>
      <rPr>
        <sz val="14"/>
        <color indexed="205"/>
        <rFont val="Calibri"/>
      </rPr>
      <t>$B$3</t>
    </r>
    <r>
      <rPr>
        <sz val="14"/>
        <color indexed="207"/>
        <rFont val="Calibri"/>
      </rPr>
      <t>)</t>
    </r>
    <r>
      <rPr>
        <sz val="14"/>
        <color indexed="206"/>
        <rFont val="Calibri"/>
      </rPr>
      <t>)</t>
    </r>
    <r>
      <rPr>
        <sz val="14"/>
        <color theme="1"/>
        <rFont val="Calibri"/>
        <scheme val="minor"/>
      </rPr>
      <t>)</t>
    </r>
  </si>
  <si>
    <t>Aktuell ist die Normalisierung so gewählt, dass dem niedrigste Wert die 0 zugewisen wird und dem höchsten die 1. Bei Kriterien wo es anders herum sein soll (z.B. geschätzter Aufwand) muss die Formel entsprechend angepasst werden. Beispiel für Zelle B6:</t>
  </si>
  <si>
    <t>Höchster Wert = 0</t>
  </si>
  <si>
    <t>WENN($B$3 = B5; 1; WENN($C$3 = B5; 0; 1 - (B5-$B$3)/($C$3-$B$3)))</t>
  </si>
  <si>
    <t>Nutzwertanalyse auf Basis einer additiven Wertefunktion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</si>
</sst>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6" x14ac:knownFonts="1">
    <font>
      <sz val="12"/>
      <color theme="1"/>
      <name val="Calibri"/>
      <family val="2"/>
      <scheme val="minor"/>
    </font>
    <font>
      <sz val="14"/>
      <color theme="1"/>
      <name val="Calibri"/>
      <scheme val="minor"/>
    </font>
    <font>
      <b/>
      <sz val="14"/>
      <color theme="1"/>
      <name val="Calibri"/>
      <scheme val="minor"/>
    </font>
    <font>
      <b/>
      <sz val="16"/>
      <color theme="2"/>
      <name val="Calibri"/>
      <scheme val="minor"/>
    </font>
    <font>
      <i/>
      <sz val="14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i/>
      <sz val="14"/>
      <color rgb="FF000000"/>
      <name val="Calibri"/>
      <scheme val="minor"/>
    </font>
    <font>
      <i/>
      <sz val="12"/>
      <color theme="1"/>
      <name val="Calibri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scheme val="minor"/>
    </font>
    <font>
      <sz val="14"/>
      <color indexed="205"/>
      <name val="Calibri"/>
    </font>
    <font>
      <sz val="14"/>
      <color indexed="206"/>
      <name val="Calibri"/>
    </font>
    <font>
      <sz val="14"/>
      <color indexed="207"/>
      <name val="Calibri"/>
    </font>
    <font>
      <sz val="12"/>
      <color rgb="FF000000"/>
      <name val="Lucida Grande"/>
      <family val="2"/>
    </font>
    <font>
      <b/>
      <sz val="16"/>
      <color theme="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7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1" fillId="0" borderId="0" xfId="0" applyFont="1" applyAlignment="1"/>
    <xf numFmtId="0" fontId="2" fillId="2" borderId="0" xfId="0" applyFont="1" applyFill="1"/>
    <xf numFmtId="0" fontId="4" fillId="0" borderId="0" xfId="0" applyFont="1"/>
    <xf numFmtId="0" fontId="8" fillId="0" borderId="0" xfId="0" applyFont="1"/>
    <xf numFmtId="0" fontId="4" fillId="0" borderId="1" xfId="0" applyFont="1" applyBorder="1"/>
    <xf numFmtId="0" fontId="7" fillId="0" borderId="1" xfId="0" applyFont="1" applyBorder="1"/>
    <xf numFmtId="0" fontId="1" fillId="0" borderId="1" xfId="0" applyFont="1" applyBorder="1"/>
    <xf numFmtId="0" fontId="2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wrapText="1"/>
    </xf>
    <xf numFmtId="0" fontId="1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2" fontId="4" fillId="0" borderId="1" xfId="0" applyNumberFormat="1" applyFont="1" applyBorder="1"/>
    <xf numFmtId="0" fontId="10" fillId="0" borderId="0" xfId="0" applyFont="1"/>
    <xf numFmtId="0" fontId="9" fillId="0" borderId="0" xfId="0" applyFont="1"/>
    <xf numFmtId="0" fontId="0" fillId="2" borderId="0" xfId="0" applyFill="1" applyAlignment="1">
      <alignment wrapText="1"/>
    </xf>
    <xf numFmtId="164" fontId="4" fillId="0" borderId="1" xfId="0" applyNumberFormat="1" applyFont="1" applyBorder="1"/>
    <xf numFmtId="0" fontId="2" fillId="2" borderId="2" xfId="0" applyFont="1" applyFill="1" applyBorder="1"/>
    <xf numFmtId="165" fontId="2" fillId="2" borderId="2" xfId="0" applyNumberFormat="1" applyFont="1" applyFill="1" applyBorder="1"/>
    <xf numFmtId="0" fontId="1" fillId="2" borderId="2" xfId="0" applyFont="1" applyFill="1" applyBorder="1"/>
    <xf numFmtId="0" fontId="1" fillId="0" borderId="3" xfId="0" applyFont="1" applyBorder="1"/>
    <xf numFmtId="0" fontId="3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5" fillId="3" borderId="0" xfId="0" applyFont="1" applyFill="1" applyAlignment="1">
      <alignment horizontal="center" vertic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16" fmlaLink="$R$5" horiz="1" max="100" page="10" val="49"/>
</file>

<file path=xl/ctrlProps/ctrlProp2.xml><?xml version="1.0" encoding="utf-8"?>
<formControlPr xmlns="http://schemas.microsoft.com/office/spreadsheetml/2009/9/main" objectType="Scroll" dx="16" fmlaLink="$R$7" horiz="1" max="100" page="10" val="23"/>
</file>

<file path=xl/ctrlProps/ctrlProp3.xml><?xml version="1.0" encoding="utf-8"?>
<formControlPr xmlns="http://schemas.microsoft.com/office/spreadsheetml/2009/9/main" objectType="Scroll" dx="16" fmlaLink="$R$9" horiz="1" max="100" page="10" val="49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croll" dx="16" fmlaLink="$R$11" horiz="1" max="100" page="10" val="48"/>
</file>

<file path=xl/ctrlProps/ctrlProp6.xml><?xml version="1.0" encoding="utf-8"?>
<formControlPr xmlns="http://schemas.microsoft.com/office/spreadsheetml/2009/9/main" objectType="Scroll" dx="16" fmlaLink="$R$13" horiz="1" max="100" page="10" val="22"/>
</file>

<file path=xl/ctrlProps/ctrlProp7.xml><?xml version="1.0" encoding="utf-8"?>
<formControlPr xmlns="http://schemas.microsoft.com/office/spreadsheetml/2009/9/main" objectType="Scroll" dx="16" fmlaLink="$R$15" horiz="1" max="100" page="10" val="22"/>
</file>

<file path=xl/ctrlProps/ctrlProp8.xml><?xml version="1.0" encoding="utf-8"?>
<formControlPr xmlns="http://schemas.microsoft.com/office/spreadsheetml/2009/9/main" objectType="Scroll" dx="16" fmlaLink="$R$17" horiz="1" max="100" page="10" val="2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63500</xdr:colOff>
          <xdr:row>4</xdr:row>
          <xdr:rowOff>88900</xdr:rowOff>
        </xdr:from>
        <xdr:to>
          <xdr:col>16</xdr:col>
          <xdr:colOff>1866900</xdr:colOff>
          <xdr:row>4</xdr:row>
          <xdr:rowOff>330200</xdr:rowOff>
        </xdr:to>
        <xdr:sp macro="" textlink="">
          <xdr:nvSpPr>
            <xdr:cNvPr id="1028" name="ScrollBar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63500</xdr:colOff>
          <xdr:row>6</xdr:row>
          <xdr:rowOff>76200</xdr:rowOff>
        </xdr:from>
        <xdr:to>
          <xdr:col>16</xdr:col>
          <xdr:colOff>1866900</xdr:colOff>
          <xdr:row>6</xdr:row>
          <xdr:rowOff>317500</xdr:rowOff>
        </xdr:to>
        <xdr:sp macro="" textlink="">
          <xdr:nvSpPr>
            <xdr:cNvPr id="1029" name="ScrollBar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63500</xdr:colOff>
          <xdr:row>8</xdr:row>
          <xdr:rowOff>76200</xdr:rowOff>
        </xdr:from>
        <xdr:to>
          <xdr:col>16</xdr:col>
          <xdr:colOff>1866900</xdr:colOff>
          <xdr:row>8</xdr:row>
          <xdr:rowOff>317500</xdr:rowOff>
        </xdr:to>
        <xdr:sp macro="" textlink="">
          <xdr:nvSpPr>
            <xdr:cNvPr id="1030" name="ScrollBar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34</xdr:row>
          <xdr:rowOff>292100</xdr:rowOff>
        </xdr:from>
        <xdr:to>
          <xdr:col>0</xdr:col>
          <xdr:colOff>2108200</xdr:colOff>
          <xdr:row>36</xdr:row>
          <xdr:rowOff>101600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Switch auto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63500</xdr:colOff>
          <xdr:row>10</xdr:row>
          <xdr:rowOff>101600</xdr:rowOff>
        </xdr:from>
        <xdr:to>
          <xdr:col>16</xdr:col>
          <xdr:colOff>1866900</xdr:colOff>
          <xdr:row>10</xdr:row>
          <xdr:rowOff>342900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12</xdr:row>
          <xdr:rowOff>88900</xdr:rowOff>
        </xdr:from>
        <xdr:to>
          <xdr:col>16</xdr:col>
          <xdr:colOff>1854200</xdr:colOff>
          <xdr:row>12</xdr:row>
          <xdr:rowOff>330200</xdr:rowOff>
        </xdr:to>
        <xdr:sp macro="" textlink="">
          <xdr:nvSpPr>
            <xdr:cNvPr id="1045" name="Scroll Bar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63500</xdr:colOff>
          <xdr:row>14</xdr:row>
          <xdr:rowOff>88900</xdr:rowOff>
        </xdr:from>
        <xdr:to>
          <xdr:col>16</xdr:col>
          <xdr:colOff>1866900</xdr:colOff>
          <xdr:row>14</xdr:row>
          <xdr:rowOff>330200</xdr:rowOff>
        </xdr:to>
        <xdr:sp macro="" textlink="">
          <xdr:nvSpPr>
            <xdr:cNvPr id="1046" name="Scroll Bar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88900</xdr:colOff>
          <xdr:row>16</xdr:row>
          <xdr:rowOff>88900</xdr:rowOff>
        </xdr:from>
        <xdr:to>
          <xdr:col>16</xdr:col>
          <xdr:colOff>1892300</xdr:colOff>
          <xdr:row>16</xdr:row>
          <xdr:rowOff>330200</xdr:rowOff>
        </xdr:to>
        <xdr:sp macro="" textlink="">
          <xdr:nvSpPr>
            <xdr:cNvPr id="1047" name="Scroll Bar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tt1"/>
  <dimension ref="A1:AA49"/>
  <sheetViews>
    <sheetView tabSelected="1" workbookViewId="0">
      <selection activeCell="I4" sqref="I1:O1048576"/>
    </sheetView>
  </sheetViews>
  <sheetFormatPr baseColWidth="10" defaultRowHeight="16" x14ac:dyDescent="0.2"/>
  <cols>
    <col min="1" max="1" width="29.6640625" customWidth="1"/>
    <col min="2" max="8" width="15.83203125" customWidth="1"/>
    <col min="9" max="15" width="15.83203125" hidden="1" customWidth="1"/>
    <col min="16" max="16" width="15.83203125" customWidth="1"/>
    <col min="17" max="17" width="27.5" customWidth="1"/>
    <col min="20" max="20" width="15.83203125" customWidth="1"/>
  </cols>
  <sheetData>
    <row r="1" spans="1:27" ht="44" customHeight="1" x14ac:dyDescent="0.25">
      <c r="A1" s="27" t="s">
        <v>53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1"/>
      <c r="W1" s="1"/>
      <c r="X1" s="1"/>
      <c r="Y1" s="1"/>
      <c r="Z1" s="1"/>
    </row>
    <row r="2" spans="1:27" ht="20" customHeight="1" x14ac:dyDescent="0.25">
      <c r="A2" s="15"/>
      <c r="B2" s="15" t="s">
        <v>6</v>
      </c>
      <c r="C2" s="15" t="s">
        <v>7</v>
      </c>
      <c r="D2" s="15"/>
      <c r="E2" s="15" t="s">
        <v>8</v>
      </c>
      <c r="F2" s="15" t="s">
        <v>9</v>
      </c>
      <c r="G2" s="15"/>
      <c r="H2" s="15" t="s">
        <v>10</v>
      </c>
      <c r="I2" s="15" t="s">
        <v>11</v>
      </c>
      <c r="J2" s="15" t="s">
        <v>12</v>
      </c>
      <c r="K2" s="15" t="s">
        <v>13</v>
      </c>
      <c r="L2" s="15" t="s">
        <v>14</v>
      </c>
      <c r="M2" s="15" t="s">
        <v>15</v>
      </c>
      <c r="N2" s="15" t="s">
        <v>16</v>
      </c>
      <c r="O2" s="15"/>
      <c r="P2" s="15" t="s">
        <v>17</v>
      </c>
      <c r="Q2" s="15" t="s">
        <v>18</v>
      </c>
      <c r="R2" s="15" t="s">
        <v>19</v>
      </c>
      <c r="S2" s="15"/>
      <c r="T2" s="15"/>
      <c r="U2" s="15"/>
      <c r="V2" s="15"/>
      <c r="W2" s="15"/>
      <c r="X2" s="15"/>
      <c r="Y2" s="15"/>
      <c r="Z2" s="15"/>
      <c r="AA2" s="16"/>
    </row>
    <row r="3" spans="1:27" ht="17" customHeight="1" x14ac:dyDescent="0.25">
      <c r="A3" s="15"/>
      <c r="B3" s="15">
        <f>MIN(B5:O5)</f>
        <v>0</v>
      </c>
      <c r="C3" s="15">
        <f>MAX(B5:O5)</f>
        <v>0</v>
      </c>
      <c r="D3" s="15"/>
      <c r="E3" s="15">
        <f>MIN(B7:O7)</f>
        <v>0</v>
      </c>
      <c r="F3" s="15">
        <f>MAX(B7:O7)</f>
        <v>0</v>
      </c>
      <c r="G3" s="15"/>
      <c r="H3" s="15">
        <f>MIN(B9:O9)</f>
        <v>0</v>
      </c>
      <c r="I3" s="15">
        <f>MAX(B9:O9)</f>
        <v>0</v>
      </c>
      <c r="J3" s="15">
        <f>MIN(B11:O11)</f>
        <v>0</v>
      </c>
      <c r="K3" s="15">
        <f>MAX(B11:O11)</f>
        <v>0</v>
      </c>
      <c r="L3" s="15">
        <f>MIN(B13:O13)</f>
        <v>0</v>
      </c>
      <c r="M3" s="15">
        <f>MAX(B13:O13)</f>
        <v>0</v>
      </c>
      <c r="N3" s="15">
        <f>MIN(B15:O15)</f>
        <v>0</v>
      </c>
      <c r="O3" s="15"/>
      <c r="P3" s="15">
        <f>MAX(B15:O15)</f>
        <v>0</v>
      </c>
      <c r="Q3" s="15">
        <f>MIN(B17:O17)</f>
        <v>0</v>
      </c>
      <c r="R3" s="15">
        <f>MAX(B17:O17)</f>
        <v>0</v>
      </c>
      <c r="S3" s="15"/>
      <c r="T3" s="15"/>
      <c r="U3" s="15"/>
      <c r="V3" s="15"/>
      <c r="W3" s="15"/>
      <c r="X3" s="15"/>
      <c r="Y3" s="15"/>
      <c r="Z3" s="15"/>
      <c r="AA3" s="16"/>
    </row>
    <row r="4" spans="1:27" s="13" customFormat="1" ht="66" customHeight="1" x14ac:dyDescent="0.25">
      <c r="A4" s="9"/>
      <c r="B4" s="10" t="s">
        <v>21</v>
      </c>
      <c r="C4" s="10" t="s">
        <v>22</v>
      </c>
      <c r="D4" s="10" t="s">
        <v>23</v>
      </c>
      <c r="E4" s="10" t="s">
        <v>24</v>
      </c>
      <c r="F4" s="10" t="s">
        <v>25</v>
      </c>
      <c r="G4" s="10" t="s">
        <v>26</v>
      </c>
      <c r="H4" s="10" t="s">
        <v>27</v>
      </c>
      <c r="I4" s="10" t="s">
        <v>28</v>
      </c>
      <c r="J4" s="10" t="s">
        <v>29</v>
      </c>
      <c r="K4" s="10" t="s">
        <v>30</v>
      </c>
      <c r="L4" s="10" t="s">
        <v>31</v>
      </c>
      <c r="M4" s="10" t="s">
        <v>32</v>
      </c>
      <c r="N4" s="10" t="s">
        <v>33</v>
      </c>
      <c r="O4" s="10" t="s">
        <v>34</v>
      </c>
      <c r="P4" s="17"/>
      <c r="Q4" s="10" t="s">
        <v>0</v>
      </c>
      <c r="R4" s="11"/>
      <c r="S4" s="11"/>
      <c r="T4" s="11"/>
      <c r="U4" s="11"/>
      <c r="V4" s="12"/>
      <c r="W4" s="12"/>
      <c r="X4" s="12"/>
      <c r="Y4" s="12"/>
      <c r="Z4" s="12"/>
    </row>
    <row r="5" spans="1:27" ht="31" customHeight="1" x14ac:dyDescent="0.25">
      <c r="A5" s="1" t="s">
        <v>38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>
        <v>49</v>
      </c>
      <c r="S5" s="1"/>
      <c r="T5" s="1"/>
      <c r="U5" s="1"/>
      <c r="V5" s="1"/>
      <c r="W5" s="1"/>
      <c r="X5" s="1"/>
      <c r="Y5" s="1"/>
      <c r="Z5" s="1"/>
    </row>
    <row r="6" spans="1:27" s="5" customFormat="1" ht="31" customHeight="1" thickBot="1" x14ac:dyDescent="0.3">
      <c r="A6" s="6" t="s">
        <v>44</v>
      </c>
      <c r="B6" s="18">
        <f>IF($B$3 = B5, 0, IF($C$3 = B5, 1, (B5-$B$3)/($C$3-$B$3)))</f>
        <v>0</v>
      </c>
      <c r="C6" s="18">
        <f t="shared" ref="C6:O6" si="0">IF($B$3 = C5, 0, IF($C$3 = C5, 1, (C5-$B$3)/($C$3-$B$3)))</f>
        <v>0</v>
      </c>
      <c r="D6" s="18">
        <f t="shared" si="0"/>
        <v>0</v>
      </c>
      <c r="E6" s="18">
        <f t="shared" si="0"/>
        <v>0</v>
      </c>
      <c r="F6" s="18">
        <f t="shared" si="0"/>
        <v>0</v>
      </c>
      <c r="G6" s="18">
        <f t="shared" si="0"/>
        <v>0</v>
      </c>
      <c r="H6" s="18">
        <f t="shared" si="0"/>
        <v>0</v>
      </c>
      <c r="I6" s="18">
        <f t="shared" si="0"/>
        <v>0</v>
      </c>
      <c r="J6" s="18">
        <f t="shared" si="0"/>
        <v>0</v>
      </c>
      <c r="K6" s="18">
        <f t="shared" si="0"/>
        <v>0</v>
      </c>
      <c r="L6" s="18">
        <f t="shared" si="0"/>
        <v>0</v>
      </c>
      <c r="M6" s="18">
        <f t="shared" si="0"/>
        <v>0</v>
      </c>
      <c r="N6" s="18">
        <f t="shared" si="0"/>
        <v>0</v>
      </c>
      <c r="O6" s="18">
        <f t="shared" si="0"/>
        <v>0</v>
      </c>
      <c r="P6" s="14"/>
      <c r="Q6" s="6"/>
      <c r="R6" s="6"/>
      <c r="S6" s="6"/>
      <c r="T6" s="6"/>
      <c r="U6" s="6"/>
      <c r="V6" s="4"/>
      <c r="W6" s="4"/>
      <c r="X6" s="4"/>
      <c r="Y6" s="4"/>
      <c r="Z6" s="4"/>
    </row>
    <row r="7" spans="1:27" ht="31" customHeight="1" x14ac:dyDescent="0.25">
      <c r="A7" s="1" t="s">
        <v>37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>
        <v>23</v>
      </c>
      <c r="S7" s="1"/>
      <c r="T7" s="1"/>
      <c r="U7" s="1"/>
      <c r="V7" s="1"/>
      <c r="W7" s="1"/>
      <c r="X7" s="1"/>
      <c r="Y7" s="1"/>
      <c r="Z7" s="1"/>
    </row>
    <row r="8" spans="1:27" s="5" customFormat="1" ht="31" customHeight="1" thickBot="1" x14ac:dyDescent="0.3">
      <c r="A8" s="6" t="s">
        <v>45</v>
      </c>
      <c r="B8" s="18">
        <f>IF($E$3 = B7, 0, IF($F$3 = B7, 1,  (B7-$E$3)/($F$3-$E$3)))</f>
        <v>0</v>
      </c>
      <c r="C8" s="18">
        <f t="shared" ref="C8:O8" si="1">IF($E$3 = C7, 0, IF($F$3 = C7, 1,  (C7-$E$3)/($F$3-$E$3)))</f>
        <v>0</v>
      </c>
      <c r="D8" s="18">
        <f t="shared" si="1"/>
        <v>0</v>
      </c>
      <c r="E8" s="18">
        <f t="shared" si="1"/>
        <v>0</v>
      </c>
      <c r="F8" s="18">
        <f t="shared" si="1"/>
        <v>0</v>
      </c>
      <c r="G8" s="18">
        <f t="shared" si="1"/>
        <v>0</v>
      </c>
      <c r="H8" s="18">
        <f t="shared" si="1"/>
        <v>0</v>
      </c>
      <c r="I8" s="18">
        <f t="shared" si="1"/>
        <v>0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8">
        <f t="shared" si="1"/>
        <v>0</v>
      </c>
      <c r="P8" s="6"/>
      <c r="Q8" s="6"/>
      <c r="R8" s="6"/>
      <c r="S8" s="6"/>
      <c r="T8" s="6"/>
      <c r="U8" s="6"/>
      <c r="V8" s="4"/>
      <c r="W8" s="4"/>
      <c r="X8" s="4"/>
      <c r="Y8" s="4"/>
      <c r="Z8" s="4"/>
    </row>
    <row r="9" spans="1:27" ht="31" customHeight="1" x14ac:dyDescent="0.25">
      <c r="A9" s="1" t="s">
        <v>36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>
        <v>49</v>
      </c>
      <c r="S9" s="1"/>
      <c r="T9" s="1"/>
      <c r="U9" s="1"/>
      <c r="V9" s="1"/>
      <c r="W9" s="1"/>
      <c r="X9" s="1"/>
      <c r="Y9" s="1"/>
      <c r="Z9" s="1"/>
    </row>
    <row r="10" spans="1:27" s="5" customFormat="1" ht="31" customHeight="1" thickBot="1" x14ac:dyDescent="0.3">
      <c r="A10" s="7" t="s">
        <v>43</v>
      </c>
      <c r="B10" s="18">
        <f>IF($H$3 = B9, 0, IF($I$3 = B9, 1,  (B9-$H$3)/($I$3-$H$3)))</f>
        <v>0</v>
      </c>
      <c r="C10" s="18">
        <f t="shared" ref="C10:O10" si="2">IF($H$3 = C9, 0, IF($I$3 = C9, 1,  (C9-$H$3)/($I$3-$H$3)))</f>
        <v>0</v>
      </c>
      <c r="D10" s="18">
        <f t="shared" si="2"/>
        <v>0</v>
      </c>
      <c r="E10" s="18">
        <f t="shared" si="2"/>
        <v>0</v>
      </c>
      <c r="F10" s="18">
        <f t="shared" si="2"/>
        <v>0</v>
      </c>
      <c r="G10" s="18">
        <f t="shared" si="2"/>
        <v>0</v>
      </c>
      <c r="H10" s="18">
        <f t="shared" si="2"/>
        <v>0</v>
      </c>
      <c r="I10" s="18">
        <f t="shared" si="2"/>
        <v>0</v>
      </c>
      <c r="J10" s="18">
        <f t="shared" si="2"/>
        <v>0</v>
      </c>
      <c r="K10" s="18">
        <f t="shared" si="2"/>
        <v>0</v>
      </c>
      <c r="L10" s="18">
        <f t="shared" si="2"/>
        <v>0</v>
      </c>
      <c r="M10" s="18">
        <f t="shared" si="2"/>
        <v>0</v>
      </c>
      <c r="N10" s="18">
        <f t="shared" si="2"/>
        <v>0</v>
      </c>
      <c r="O10" s="18">
        <f t="shared" si="2"/>
        <v>0</v>
      </c>
      <c r="P10" s="6"/>
      <c r="Q10" s="6"/>
      <c r="R10" s="6"/>
      <c r="S10" s="6"/>
      <c r="T10" s="6"/>
      <c r="U10" s="6"/>
      <c r="V10" s="4"/>
      <c r="W10" s="4"/>
      <c r="X10" s="4"/>
      <c r="Y10" s="4"/>
      <c r="Z10" s="4"/>
    </row>
    <row r="11" spans="1:27" ht="31" customHeight="1" x14ac:dyDescent="0.25">
      <c r="A11" s="1" t="s">
        <v>35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>
        <v>48</v>
      </c>
      <c r="S11" s="1"/>
      <c r="T11" s="1"/>
      <c r="U11" s="1"/>
      <c r="V11" s="1"/>
      <c r="W11" s="1"/>
      <c r="X11" s="1"/>
      <c r="Y11" s="1"/>
      <c r="Z11" s="1"/>
    </row>
    <row r="12" spans="1:27" s="5" customFormat="1" ht="31" customHeight="1" thickBot="1" x14ac:dyDescent="0.3">
      <c r="A12" s="7" t="s">
        <v>42</v>
      </c>
      <c r="B12" s="18">
        <f>B11/100</f>
        <v>0</v>
      </c>
      <c r="C12" s="18">
        <f t="shared" ref="C12:O12" si="3">C11/100</f>
        <v>0</v>
      </c>
      <c r="D12" s="18">
        <f t="shared" si="3"/>
        <v>0</v>
      </c>
      <c r="E12" s="18">
        <f t="shared" si="3"/>
        <v>0</v>
      </c>
      <c r="F12" s="18">
        <f t="shared" si="3"/>
        <v>0</v>
      </c>
      <c r="G12" s="18">
        <f t="shared" si="3"/>
        <v>0</v>
      </c>
      <c r="H12" s="18">
        <f t="shared" si="3"/>
        <v>0</v>
      </c>
      <c r="I12" s="18">
        <f t="shared" si="3"/>
        <v>0</v>
      </c>
      <c r="J12" s="18">
        <f t="shared" si="3"/>
        <v>0</v>
      </c>
      <c r="K12" s="18">
        <f t="shared" si="3"/>
        <v>0</v>
      </c>
      <c r="L12" s="18">
        <f t="shared" si="3"/>
        <v>0</v>
      </c>
      <c r="M12" s="18">
        <f t="shared" si="3"/>
        <v>0</v>
      </c>
      <c r="N12" s="18">
        <f t="shared" si="3"/>
        <v>0</v>
      </c>
      <c r="O12" s="18">
        <f t="shared" si="3"/>
        <v>0</v>
      </c>
      <c r="P12" s="6"/>
      <c r="Q12" s="6"/>
      <c r="R12" s="6"/>
      <c r="S12" s="6"/>
      <c r="T12" s="6"/>
      <c r="U12" s="6"/>
      <c r="V12" s="4"/>
      <c r="W12" s="4"/>
      <c r="X12" s="4"/>
      <c r="Y12" s="4"/>
      <c r="Z12" s="4"/>
    </row>
    <row r="13" spans="1:27" ht="31" customHeight="1" x14ac:dyDescent="0.25">
      <c r="A13" s="1" t="s">
        <v>35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>
        <v>22</v>
      </c>
      <c r="S13" s="1"/>
      <c r="T13" s="1"/>
      <c r="U13" s="1"/>
      <c r="V13" s="1"/>
      <c r="W13" s="1"/>
      <c r="X13" s="1"/>
      <c r="Y13" s="1"/>
      <c r="Z13" s="1"/>
    </row>
    <row r="14" spans="1:27" ht="31" customHeight="1" thickBot="1" x14ac:dyDescent="0.3">
      <c r="A14" s="6" t="s">
        <v>41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1"/>
      <c r="W14" s="1"/>
      <c r="X14" s="1"/>
      <c r="Y14" s="1"/>
      <c r="Z14" s="1"/>
    </row>
    <row r="15" spans="1:27" ht="31" customHeight="1" x14ac:dyDescent="0.25">
      <c r="A15" s="1" t="s">
        <v>35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>
        <v>22</v>
      </c>
      <c r="S15" s="1"/>
      <c r="T15" s="1"/>
      <c r="U15" s="1"/>
      <c r="V15" s="1"/>
      <c r="W15" s="1"/>
      <c r="X15" s="1"/>
      <c r="Y15" s="1"/>
      <c r="Z15" s="1"/>
    </row>
    <row r="16" spans="1:27" ht="31" customHeight="1" thickBot="1" x14ac:dyDescent="0.3">
      <c r="A16" s="6" t="s">
        <v>40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1"/>
      <c r="W16" s="1"/>
      <c r="X16" s="1"/>
      <c r="Y16" s="1"/>
      <c r="Z16" s="1"/>
    </row>
    <row r="17" spans="1:26" ht="31" customHeight="1" x14ac:dyDescent="0.25">
      <c r="A17" s="1" t="s">
        <v>39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>
        <v>22</v>
      </c>
      <c r="S17" s="1"/>
      <c r="T17" s="1"/>
      <c r="U17" s="1"/>
      <c r="V17" s="1"/>
      <c r="W17" s="1"/>
      <c r="X17" s="1"/>
      <c r="Y17" s="1"/>
      <c r="Z17" s="1"/>
    </row>
    <row r="18" spans="1:26" ht="31" customHeight="1" thickBot="1" x14ac:dyDescent="0.3">
      <c r="A18" s="6" t="s">
        <v>5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1"/>
      <c r="W18" s="1"/>
      <c r="X18" s="1"/>
      <c r="Y18" s="1"/>
      <c r="Z18" s="1"/>
    </row>
    <row r="19" spans="1:26" ht="32" customHeight="1" thickBot="1" x14ac:dyDescent="0.3">
      <c r="A19" s="19" t="s">
        <v>3</v>
      </c>
      <c r="B19" s="20">
        <f>B6*($R$5/100)+B8*($R$7/100)+B10*($R$9/100)+B12*($R$11/100)+B14*($R$13/100)+B16*($R$15/100)+B18*($R$17/100)</f>
        <v>0</v>
      </c>
      <c r="C19" s="20">
        <f>C6*($R$5/100)+C8*($R$7/100)+C10*($R$9/100)+C12*($R$11/100)+C14*($R$13/100)+C16*($R$15/100)+C18*($R$17/100)</f>
        <v>0</v>
      </c>
      <c r="D19" s="20">
        <f>D6*($R$5/100)+D8*($R$7/100)+D10*($R$9/100)+D12*($R$11/100)+D14*($R$13/100)+D16*($R$15/100)+D18*($R$17/100)</f>
        <v>0</v>
      </c>
      <c r="E19" s="20">
        <f>E6*($R$5/100)+E8*($R$7/100)+E10*($R$9/100)+E12*($R$11/100)+E14*($R$13/100)+E16*($R$15/100)+E18*($R$17/100)</f>
        <v>0</v>
      </c>
      <c r="F19" s="20">
        <f t="shared" ref="F19:O19" si="4">F6*($R$5/100)+F8*($R$7/100)+F10*($R$9/100)+F12*($R$11/100)+F14*($R$13/100)+F16*($R$15/100)+F18*($R$17/100)</f>
        <v>0</v>
      </c>
      <c r="G19" s="20">
        <f t="shared" si="4"/>
        <v>0</v>
      </c>
      <c r="H19" s="20">
        <f t="shared" si="4"/>
        <v>0</v>
      </c>
      <c r="I19" s="20">
        <f t="shared" si="4"/>
        <v>0</v>
      </c>
      <c r="J19" s="20">
        <f t="shared" si="4"/>
        <v>0</v>
      </c>
      <c r="K19" s="20">
        <f t="shared" si="4"/>
        <v>0</v>
      </c>
      <c r="L19" s="20">
        <f t="shared" si="4"/>
        <v>0</v>
      </c>
      <c r="M19" s="20">
        <f t="shared" si="4"/>
        <v>0</v>
      </c>
      <c r="N19" s="20">
        <f t="shared" si="4"/>
        <v>0</v>
      </c>
      <c r="O19" s="20">
        <f t="shared" si="4"/>
        <v>0</v>
      </c>
      <c r="P19" s="19"/>
      <c r="Q19" s="21"/>
      <c r="R19" s="21">
        <f>SUM(R5:R18)</f>
        <v>235</v>
      </c>
      <c r="S19" s="21"/>
      <c r="T19" s="21"/>
      <c r="U19" s="21"/>
      <c r="V19" s="1"/>
      <c r="W19" s="1"/>
      <c r="X19" s="1"/>
      <c r="Y19" s="1"/>
      <c r="Z19" s="1"/>
    </row>
    <row r="20" spans="1:26" ht="29" customHeight="1" x14ac:dyDescent="0.25">
      <c r="A20" s="3" t="s">
        <v>20</v>
      </c>
      <c r="B20" s="3">
        <f>RANK(B19,$B$19:$O$19)</f>
        <v>1</v>
      </c>
      <c r="C20" s="3">
        <f t="shared" ref="C20:O20" si="5">RANK(C19,$B$19:$O$19)</f>
        <v>1</v>
      </c>
      <c r="D20" s="3">
        <f t="shared" si="5"/>
        <v>1</v>
      </c>
      <c r="E20" s="3">
        <f t="shared" si="5"/>
        <v>1</v>
      </c>
      <c r="F20" s="3">
        <f t="shared" si="5"/>
        <v>1</v>
      </c>
      <c r="G20" s="3">
        <f t="shared" si="5"/>
        <v>1</v>
      </c>
      <c r="H20" s="3">
        <f t="shared" si="5"/>
        <v>1</v>
      </c>
      <c r="I20" s="3">
        <f t="shared" si="5"/>
        <v>1</v>
      </c>
      <c r="J20" s="3">
        <f t="shared" si="5"/>
        <v>1</v>
      </c>
      <c r="K20" s="3">
        <f t="shared" si="5"/>
        <v>1</v>
      </c>
      <c r="L20" s="3">
        <f t="shared" si="5"/>
        <v>1</v>
      </c>
      <c r="M20" s="3">
        <f t="shared" si="5"/>
        <v>1</v>
      </c>
      <c r="N20" s="3">
        <f t="shared" si="5"/>
        <v>1</v>
      </c>
      <c r="O20" s="3">
        <f t="shared" si="5"/>
        <v>1</v>
      </c>
      <c r="P20" s="3"/>
      <c r="Q20" s="3"/>
      <c r="R20" s="3"/>
      <c r="S20" s="3"/>
      <c r="T20" s="3"/>
      <c r="U20" s="3"/>
      <c r="V20" s="1"/>
      <c r="W20" s="1"/>
      <c r="X20" s="1"/>
      <c r="Y20" s="1"/>
      <c r="Z20" s="1"/>
    </row>
    <row r="21" spans="1:26" ht="1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46" customHeight="1" x14ac:dyDescent="0.25">
      <c r="A30" s="1" t="s">
        <v>47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9" x14ac:dyDescent="0.25">
      <c r="A31" s="22" t="s">
        <v>46</v>
      </c>
      <c r="B31" s="22">
        <v>0</v>
      </c>
      <c r="C31" s="22">
        <v>0.5</v>
      </c>
      <c r="D31" s="22">
        <v>1</v>
      </c>
      <c r="E31" s="22">
        <v>2</v>
      </c>
      <c r="F31" s="22">
        <v>3</v>
      </c>
      <c r="G31" s="22">
        <v>5</v>
      </c>
      <c r="H31" s="22">
        <v>8</v>
      </c>
      <c r="I31" s="22">
        <v>13</v>
      </c>
      <c r="J31" s="22">
        <v>20</v>
      </c>
      <c r="K31" s="22">
        <v>40</v>
      </c>
      <c r="L31" s="22">
        <v>100</v>
      </c>
      <c r="M31" s="22"/>
      <c r="N31" s="22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6" customHeight="1" x14ac:dyDescent="0.25">
      <c r="A33" s="1" t="s">
        <v>50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8" customHeight="1" x14ac:dyDescent="0.25">
      <c r="A34" s="22" t="s">
        <v>48</v>
      </c>
      <c r="B34" s="22" t="s">
        <v>49</v>
      </c>
      <c r="C34" s="22"/>
      <c r="D34" s="22"/>
      <c r="E34" s="22"/>
      <c r="F34" s="22"/>
      <c r="G34" s="22" t="s">
        <v>51</v>
      </c>
      <c r="H34" s="22"/>
      <c r="I34" s="22" t="s">
        <v>52</v>
      </c>
      <c r="J34" s="22"/>
      <c r="K34" s="22"/>
      <c r="L34" s="22"/>
      <c r="M34" s="22"/>
      <c r="N34" s="22"/>
      <c r="O34" s="22"/>
      <c r="P34" s="22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1" customHeight="1" x14ac:dyDescent="0.25">
      <c r="A35" s="26"/>
      <c r="B35" s="2" t="s">
        <v>1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1"/>
      <c r="U35" s="1"/>
      <c r="V35" s="1"/>
      <c r="W35" s="1"/>
      <c r="X35" s="1"/>
      <c r="Y35" s="1"/>
      <c r="Z35" s="1"/>
    </row>
    <row r="36" spans="1:26" ht="31" customHeight="1" x14ac:dyDescent="0.25">
      <c r="A36" s="26"/>
      <c r="B36" s="24" t="s">
        <v>4</v>
      </c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1"/>
      <c r="U36" s="1"/>
      <c r="V36" s="1"/>
      <c r="W36" s="1"/>
      <c r="X36" s="1"/>
      <c r="Y36" s="1"/>
      <c r="Z36" s="1"/>
    </row>
    <row r="37" spans="1:26" ht="31" customHeight="1" x14ac:dyDescent="0.25">
      <c r="A37" s="26"/>
      <c r="B37" s="1" t="s">
        <v>2</v>
      </c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1"/>
      <c r="U37" s="1"/>
      <c r="V37" s="1"/>
      <c r="W37" s="1"/>
      <c r="X37" s="1"/>
      <c r="Y37" s="1"/>
      <c r="Z37" s="1"/>
    </row>
    <row r="38" spans="1:26" ht="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9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</sheetData>
  <mergeCells count="4">
    <mergeCell ref="A1:U1"/>
    <mergeCell ref="B36:S36"/>
    <mergeCell ref="C37:S37"/>
    <mergeCell ref="A35:A37"/>
  </mergeCells>
  <conditionalFormatting sqref="B37">
    <cfRule type="containsText" dxfId="3" priority="1" operator="containsText" text="Enabled">
      <formula>NOT(ISERROR(SEARCH("Enabled",B37)))</formula>
    </cfRule>
    <cfRule type="containsText" dxfId="2" priority="2" operator="containsText" text="Disabled">
      <formula>NOT(ISERROR(SEARCH("Disabled",B37)))</formula>
    </cfRule>
  </conditionalFormatting>
  <conditionalFormatting sqref="R19">
    <cfRule type="cellIs" dxfId="1" priority="3" operator="greaterThanOrEqual">
      <formula>101</formula>
    </cfRule>
    <cfRule type="cellIs" dxfId="0" priority="4" operator="between">
      <formula>0</formula>
      <formula>100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ScrollBar1">
              <controlPr defaultSize="0" autoPict="0" macro="[0]!ScrollBar1_Change">
                <anchor moveWithCells="1">
                  <from>
                    <xdr:col>16</xdr:col>
                    <xdr:colOff>63500</xdr:colOff>
                    <xdr:row>4</xdr:row>
                    <xdr:rowOff>88900</xdr:rowOff>
                  </from>
                  <to>
                    <xdr:col>16</xdr:col>
                    <xdr:colOff>1866900</xdr:colOff>
                    <xdr:row>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ScrollBar2">
              <controlPr defaultSize="0" autoPict="0" macro="[0]!ScrollBar2_Change">
                <anchor moveWithCells="1">
                  <from>
                    <xdr:col>16</xdr:col>
                    <xdr:colOff>63500</xdr:colOff>
                    <xdr:row>6</xdr:row>
                    <xdr:rowOff>76200</xdr:rowOff>
                  </from>
                  <to>
                    <xdr:col>16</xdr:col>
                    <xdr:colOff>1866900</xdr:colOff>
                    <xdr:row>6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ScrollBar3">
              <controlPr defaultSize="0" autoPict="0" macro="[0]!ScrollBar3_Change">
                <anchor moveWithCells="1">
                  <from>
                    <xdr:col>16</xdr:col>
                    <xdr:colOff>63500</xdr:colOff>
                    <xdr:row>8</xdr:row>
                    <xdr:rowOff>76200</xdr:rowOff>
                  </from>
                  <to>
                    <xdr:col>16</xdr:col>
                    <xdr:colOff>1866900</xdr:colOff>
                    <xdr:row>8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button2_Click">
                <anchor moveWithCells="1" sizeWithCells="1">
                  <from>
                    <xdr:col>0</xdr:col>
                    <xdr:colOff>76200</xdr:colOff>
                    <xdr:row>34</xdr:row>
                    <xdr:rowOff>292100</xdr:rowOff>
                  </from>
                  <to>
                    <xdr:col>0</xdr:col>
                    <xdr:colOff>2108200</xdr:colOff>
                    <xdr:row>36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Scroll Bar 19">
              <controlPr defaultSize="0" autoPict="0" macro="[0]!ScrollBar4_Change">
                <anchor moveWithCells="1">
                  <from>
                    <xdr:col>16</xdr:col>
                    <xdr:colOff>63500</xdr:colOff>
                    <xdr:row>10</xdr:row>
                    <xdr:rowOff>101600</xdr:rowOff>
                  </from>
                  <to>
                    <xdr:col>16</xdr:col>
                    <xdr:colOff>1866900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Scroll Bar 21">
              <controlPr defaultSize="0" autoPict="0" macro="[0]!ScrollBar5_Change">
                <anchor moveWithCells="1">
                  <from>
                    <xdr:col>16</xdr:col>
                    <xdr:colOff>50800</xdr:colOff>
                    <xdr:row>12</xdr:row>
                    <xdr:rowOff>88900</xdr:rowOff>
                  </from>
                  <to>
                    <xdr:col>16</xdr:col>
                    <xdr:colOff>1854200</xdr:colOff>
                    <xdr:row>12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Scroll Bar 22">
              <controlPr defaultSize="0" autoPict="0" macro="[0]!ScrollBar6_Change">
                <anchor moveWithCells="1">
                  <from>
                    <xdr:col>16</xdr:col>
                    <xdr:colOff>63500</xdr:colOff>
                    <xdr:row>14</xdr:row>
                    <xdr:rowOff>88900</xdr:rowOff>
                  </from>
                  <to>
                    <xdr:col>16</xdr:col>
                    <xdr:colOff>1866900</xdr:colOff>
                    <xdr:row>14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Scroll Bar 23">
              <controlPr defaultSize="0" autoPict="0" macro="[0]!ScrollBar7_Change">
                <anchor moveWithCells="1">
                  <from>
                    <xdr:col>16</xdr:col>
                    <xdr:colOff>88900</xdr:colOff>
                    <xdr:row>16</xdr:row>
                    <xdr:rowOff>88900</xdr:rowOff>
                  </from>
                  <to>
                    <xdr:col>16</xdr:col>
                    <xdr:colOff>1892300</xdr:colOff>
                    <xdr:row>16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Blatt1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Hallo</dc:creator>
  <cp:lastModifiedBy>Microsoft Office User</cp:lastModifiedBy>
  <dcterms:created xsi:type="dcterms:W3CDTF">2017-10-31T11:56:38Z</dcterms:created>
  <dcterms:modified xsi:type="dcterms:W3CDTF">2019-06-24T13:03:07Z</dcterms:modified>
</cp:coreProperties>
</file>